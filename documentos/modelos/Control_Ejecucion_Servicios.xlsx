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IO" sheetId="1" state="visible" r:id="rId3"/>
    <sheet name="Instructivo" sheetId="2" state="visible" r:id="rId4"/>
  </sheets>
  <definedNames>
    <definedName function="false" hidden="false" localSheetId="0" name="_xlnm.Print_Area" vbProcedure="false">SERVICIO!$A$1:$K$66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9" authorId="0">
      <text>
        <r>
          <rPr>
            <sz val="10"/>
            <rFont val="Arial"/>
            <family val="2"/>
          </rPr>
          <t xml:space="preserve">Tasa de IVA aplicable. Básica 22%, mínima 10%, exento 0%.</t>
        </r>
      </text>
    </comment>
    <comment ref="H4" authorId="0">
      <text>
        <r>
          <rPr>
            <sz val="10"/>
            <rFont val="Arial"/>
            <family val="2"/>
          </rPr>
          <t xml:space="preserve">Ingresar el monto total adjudicado CON IVA (dato de la orden de compra).
Si solo se cuenta con el monto sin IVA, cargar la fórmula =monto*(1+tasa de IVA).</t>
        </r>
      </text>
    </comment>
  </commentList>
</comments>
</file>

<file path=xl/sharedStrings.xml><?xml version="1.0" encoding="utf-8"?>
<sst xmlns="http://schemas.openxmlformats.org/spreadsheetml/2006/main" count="52" uniqueCount="52">
  <si>
    <t xml:space="preserve">CONTROL DE EJECUCIÓN DE SERVICIO</t>
  </si>
  <si>
    <t xml:space="preserve">Nº de Compra / Pedido</t>
  </si>
  <si>
    <t xml:space="preserve">Monto adjudicado (con IVA)</t>
  </si>
  <si>
    <t xml:space="preserve">Expediente</t>
  </si>
  <si>
    <t xml:space="preserve">Monto adjudicado (sin IVA)</t>
  </si>
  <si>
    <t xml:space="preserve">Empresa proveedora del servicio</t>
  </si>
  <si>
    <t xml:space="preserve">Ejecutado acumulado (con IVA)</t>
  </si>
  <si>
    <t xml:space="preserve">Objeto del servicio</t>
  </si>
  <si>
    <t xml:space="preserve">SALDO DISPONIBLE (con IVA)</t>
  </si>
  <si>
    <t xml:space="preserve">Moneda</t>
  </si>
  <si>
    <t xml:space="preserve">Pesos</t>
  </si>
  <si>
    <t xml:space="preserve">Saldo disponible (sin IVA)</t>
  </si>
  <si>
    <t xml:space="preserve">Tasa de IVA</t>
  </si>
  <si>
    <t xml:space="preserve">% ejecutado</t>
  </si>
  <si>
    <t xml:space="preserve">Hojas de servicio registradas</t>
  </si>
  <si>
    <t xml:space="preserve">Nº</t>
  </si>
  <si>
    <t xml:space="preserve">Fecha</t>
  </si>
  <si>
    <t xml:space="preserve">Hoja de Servicio</t>
  </si>
  <si>
    <t xml:space="preserve">Nº Aceptación</t>
  </si>
  <si>
    <t xml:space="preserve">Detalle / Observaciones</t>
  </si>
  <si>
    <t xml:space="preserve">Monto sin IVA</t>
  </si>
  <si>
    <t xml:space="preserve">IVA</t>
  </si>
  <si>
    <t xml:space="preserve">Monto con IVA</t>
  </si>
  <si>
    <t xml:space="preserve">Saldo restante</t>
  </si>
  <si>
    <t xml:space="preserve">EJEMPLO - borrar el contenido de esta fila antes de usar</t>
  </si>
  <si>
    <t xml:space="preserve">TOTALES</t>
  </si>
  <si>
    <t xml:space="preserve">Celdas amarillas con texto azul = carga manual. El resto son fórmulas, no modificar. En la hoja de servicio se cargan los valores SIN IVA.</t>
  </si>
  <si>
    <t xml:space="preserve">INSTRUCTIVO DE USO</t>
  </si>
  <si>
    <t xml:space="preserve">Para qué sirve</t>
  </si>
  <si>
    <t xml:space="preserve">Controlar la ejecución de un servicio contratado: se carga el monto adjudicado y cada hoja de servicio recibida se descuenta automáticamente del saldo.</t>
  </si>
  <si>
    <t xml:space="preserve">Una hoja por pedido</t>
  </si>
  <si>
    <t xml:space="preserve">Duplicar la hoja SERVICIO (clic derecho sobre la pestaña &gt; Mover o copiar &gt; Crear una copia) y renombrarla con el Nº de compra. Así se replica la estructura para cada contrato.</t>
  </si>
  <si>
    <t xml:space="preserve">PASO 1 - Encabezado</t>
  </si>
  <si>
    <t xml:space="preserve">Completar Nº de Compra, Expediente, Empresa, Objeto, Moneda y Tasa de IVA (D4:E9).</t>
  </si>
  <si>
    <t xml:space="preserve">PASO 2 - Monto</t>
  </si>
  <si>
    <t xml:space="preserve">Cargar en H4 el monto adjudicado CON IVA (viene con 500.000 a modo de ejemplo: reemplazar). H5 calcula el equivalente sin IVA.</t>
  </si>
  <si>
    <t xml:space="preserve">PASO 3 - Movimientos</t>
  </si>
  <si>
    <t xml:space="preserve">Por cada hoja de servicio: Fecha, Nº de Hoja de Servicio, Nº de Aceptación, Detalle y Monto SIN IVA (columna G). El IVA, el total y el saldo se calculan solos.</t>
  </si>
  <si>
    <t xml:space="preserve">PASO 4 - Seguimiento</t>
  </si>
  <si>
    <t xml:space="preserve">La columna J muestra el saldo restante después de cada movimiento. Si queda en negativo se pinta en rojo: se excedió el monto adjudicado.</t>
  </si>
  <si>
    <t xml:space="preserve">Celdas de carga</t>
  </si>
  <si>
    <t xml:space="preserve">Fondo amarillo y texto azul. Son las únicas que se editan.</t>
  </si>
  <si>
    <t xml:space="preserve">Celdas calculadas</t>
  </si>
  <si>
    <t xml:space="preserve">Fondo gris o verde con texto negro. Contienen fórmulas: no sobrescribir.</t>
  </si>
  <si>
    <t xml:space="preserve">Fila de ejemplo</t>
  </si>
  <si>
    <t xml:space="preserve">La fila 13 trae un movimiento de ejemplo. Borrar su CONTENIDO (tecla Suprimir), nunca eliminar la fila, para no romper las fórmulas.</t>
  </si>
  <si>
    <t xml:space="preserve">Capacidad</t>
  </si>
  <si>
    <t xml:space="preserve">50 movimientos (filas 13 a 62). Para ampliar, insertar filas dentro del rango y copiar las fórmulas de las columnas B, H, I y J.</t>
  </si>
  <si>
    <t xml:space="preserve">Criterio de IVA</t>
  </si>
  <si>
    <t xml:space="preserve">El monto adjudicado se registra con IVA y en la hoja de servicio se imputan valores sin IVA; por eso la planilla lleva ambas columnas y dos saldos.</t>
  </si>
  <si>
    <t xml:space="preserve">Si el contrato es en USD</t>
  </si>
  <si>
    <t xml:space="preserve">Elegir 'Dólares' en Moneda y cargar todos los importes en esa misma moneda. La planilla no convierte tipos de cambio.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</si>
</sst>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[RED]\(#,##0.00\);\-"/>
    <numFmt numFmtId="166" formatCode="0.0%"/>
    <numFmt numFmtId="167" formatCode="0"/>
    <numFmt numFmtId="168" formatCode="dd/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3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2"/>
  </cols>
  <sheetData>
    <row r="2" customFormat="false" ht="24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4" customFormat="false" ht="15" hidden="false" customHeight="false" outlineLevel="0" collapsed="false">
      <c r="B4" s="2" t="s">
        <v>1</v>
      </c>
      <c r="C4" s="2"/>
      <c r="D4" s="3"/>
      <c r="E4" s="3"/>
      <c r="F4" s="4" t="s">
        <v>2</v>
      </c>
      <c r="G4" s="4"/>
      <c r="H4" s="5" t="n">
        <v>500000</v>
      </c>
    </row>
    <row r="5" customFormat="false" ht="15" hidden="false" customHeight="false" outlineLevel="0" collapsed="false">
      <c r="B5" s="2" t="s">
        <v>3</v>
      </c>
      <c r="C5" s="2"/>
      <c r="D5" s="3"/>
      <c r="E5" s="3"/>
      <c r="F5" s="4" t="s">
        <v>4</v>
      </c>
      <c r="G5" s="4"/>
      <c r="H5" s="6" t="n">
        <f aca="false">H4/(1+$D$9)</f>
        <v>409836.065573771</v>
      </c>
    </row>
    <row r="6" customFormat="false" ht="15" hidden="false" customHeight="false" outlineLevel="0" collapsed="false">
      <c r="B6" s="2" t="s">
        <v>5</v>
      </c>
      <c r="C6" s="2"/>
      <c r="D6" s="3"/>
      <c r="E6" s="3"/>
      <c r="F6" s="4" t="s">
        <v>6</v>
      </c>
      <c r="G6" s="4"/>
      <c r="H6" s="6" t="n">
        <f aca="false">I64</f>
        <v>15250</v>
      </c>
    </row>
    <row r="7" customFormat="false" ht="15" hidden="false" customHeight="false" outlineLevel="0" collapsed="false">
      <c r="B7" s="2" t="s">
        <v>7</v>
      </c>
      <c r="C7" s="2"/>
      <c r="D7" s="3"/>
      <c r="E7" s="3"/>
      <c r="F7" s="7" t="s">
        <v>8</v>
      </c>
      <c r="G7" s="7"/>
      <c r="H7" s="8" t="n">
        <f aca="false">H4-H6</f>
        <v>484750</v>
      </c>
    </row>
    <row r="8" customFormat="false" ht="15" hidden="false" customHeight="false" outlineLevel="0" collapsed="false">
      <c r="B8" s="2" t="s">
        <v>9</v>
      </c>
      <c r="C8" s="2"/>
      <c r="D8" s="3" t="s">
        <v>10</v>
      </c>
      <c r="E8" s="3"/>
      <c r="F8" s="4" t="s">
        <v>11</v>
      </c>
      <c r="G8" s="4"/>
      <c r="H8" s="6" t="n">
        <f aca="false">H5-G64</f>
        <v>397336.065573771</v>
      </c>
    </row>
    <row r="9" customFormat="false" ht="15" hidden="false" customHeight="false" outlineLevel="0" collapsed="false">
      <c r="B9" s="2" t="s">
        <v>12</v>
      </c>
      <c r="C9" s="2"/>
      <c r="D9" s="9" t="n">
        <v>0.22</v>
      </c>
      <c r="E9" s="9"/>
      <c r="F9" s="4" t="s">
        <v>13</v>
      </c>
      <c r="G9" s="4"/>
      <c r="H9" s="10" t="n">
        <f aca="false">IFERROR(H6/H4,0)</f>
        <v>0.0305</v>
      </c>
    </row>
    <row r="10" customFormat="false" ht="15" hidden="false" customHeight="false" outlineLevel="0" collapsed="false">
      <c r="F10" s="4" t="s">
        <v>14</v>
      </c>
      <c r="G10" s="4"/>
      <c r="H10" s="11" t="n">
        <f aca="false">COUNTA(D13:D62)</f>
        <v>1</v>
      </c>
    </row>
    <row r="12" customFormat="false" ht="27.75" hidden="false" customHeight="true" outlineLevel="0" collapsed="false">
      <c r="B12" s="12" t="s">
        <v>15</v>
      </c>
      <c r="C12" s="12" t="s">
        <v>16</v>
      </c>
      <c r="D12" s="12" t="s">
        <v>17</v>
      </c>
      <c r="E12" s="12" t="s">
        <v>18</v>
      </c>
      <c r="F12" s="12" t="s">
        <v>19</v>
      </c>
      <c r="G12" s="12" t="s">
        <v>20</v>
      </c>
      <c r="H12" s="12" t="s">
        <v>21</v>
      </c>
      <c r="I12" s="12" t="s">
        <v>22</v>
      </c>
      <c r="J12" s="12" t="s">
        <v>23</v>
      </c>
    </row>
    <row r="13" customFormat="false" ht="15" hidden="false" customHeight="false" outlineLevel="0" collapsed="false">
      <c r="B13" s="13" t="n">
        <f aca="false">IF(AND(C13="",D13="",G13=""),"",ROW()-12)</f>
        <v>1</v>
      </c>
      <c r="C13" s="14" t="n">
        <v>46037</v>
      </c>
      <c r="D13" s="15" t="n">
        <v>1000260001</v>
      </c>
      <c r="E13" s="15" t="n">
        <v>5000270001</v>
      </c>
      <c r="F13" s="3" t="s">
        <v>24</v>
      </c>
      <c r="G13" s="5" t="n">
        <v>12500</v>
      </c>
      <c r="H13" s="16" t="n">
        <f aca="false">IF(G13="","",G13*$D$9)</f>
        <v>2750</v>
      </c>
      <c r="I13" s="16" t="n">
        <f aca="false">IF(G13="","",G13+H13)</f>
        <v>15250</v>
      </c>
      <c r="J13" s="6" t="n">
        <f aca="false">IF(AND(C13="",D13="",G13=""),"",$H$4-SUM($I$13:I13))</f>
        <v>484750</v>
      </c>
    </row>
    <row r="14" customFormat="false" ht="15" hidden="false" customHeight="false" outlineLevel="0" collapsed="false">
      <c r="B14" s="13" t="str">
        <f aca="false">IF(AND(C14="",D14="",G14=""),"",ROW()-12)</f>
        <v/>
      </c>
      <c r="C14" s="14"/>
      <c r="D14" s="15"/>
      <c r="E14" s="15"/>
      <c r="F14" s="3"/>
      <c r="G14" s="5"/>
      <c r="H14" s="16" t="str">
        <f aca="false">IF(G14="","",G14*$D$9)</f>
        <v/>
      </c>
      <c r="I14" s="16" t="str">
        <f aca="false">IF(G14="","",G14+H14)</f>
        <v/>
      </c>
      <c r="J14" s="6" t="str">
        <f aca="false">IF(AND(C14="",D14="",G14=""),"",$H$4-SUM($I$13:I14))</f>
        <v/>
      </c>
    </row>
    <row r="15" customFormat="false" ht="15" hidden="false" customHeight="false" outlineLevel="0" collapsed="false">
      <c r="B15" s="13" t="str">
        <f aca="false">IF(AND(C15="",D15="",G15=""),"",ROW()-12)</f>
        <v/>
      </c>
      <c r="C15" s="14"/>
      <c r="D15" s="15"/>
      <c r="E15" s="15"/>
      <c r="F15" s="3"/>
      <c r="G15" s="5"/>
      <c r="H15" s="16" t="str">
        <f aca="false">IF(G15="","",G15*$D$9)</f>
        <v/>
      </c>
      <c r="I15" s="16" t="str">
        <f aca="false">IF(G15="","",G15+H15)</f>
        <v/>
      </c>
      <c r="J15" s="6" t="str">
        <f aca="false">IF(AND(C15="",D15="",G15=""),"",$H$4-SUM($I$13:I15))</f>
        <v/>
      </c>
    </row>
    <row r="16" customFormat="false" ht="15" hidden="false" customHeight="false" outlineLevel="0" collapsed="false">
      <c r="B16" s="13" t="str">
        <f aca="false">IF(AND(C16="",D16="",G16=""),"",ROW()-12)</f>
        <v/>
      </c>
      <c r="C16" s="14"/>
      <c r="D16" s="15"/>
      <c r="E16" s="15"/>
      <c r="F16" s="3"/>
      <c r="G16" s="5"/>
      <c r="H16" s="16" t="str">
        <f aca="false">IF(G16="","",G16*$D$9)</f>
        <v/>
      </c>
      <c r="I16" s="16" t="str">
        <f aca="false">IF(G16="","",G16+H16)</f>
        <v/>
      </c>
      <c r="J16" s="6" t="str">
        <f aca="false">IF(AND(C16="",D16="",G16=""),"",$H$4-SUM($I$13:I16))</f>
        <v/>
      </c>
    </row>
    <row r="17" customFormat="false" ht="15" hidden="false" customHeight="false" outlineLevel="0" collapsed="false">
      <c r="B17" s="13" t="str">
        <f aca="false">IF(AND(C17="",D17="",G17=""),"",ROW()-12)</f>
        <v/>
      </c>
      <c r="C17" s="14"/>
      <c r="D17" s="15"/>
      <c r="E17" s="15"/>
      <c r="F17" s="3"/>
      <c r="G17" s="5"/>
      <c r="H17" s="16" t="str">
        <f aca="false">IF(G17="","",G17*$D$9)</f>
        <v/>
      </c>
      <c r="I17" s="16" t="str">
        <f aca="false">IF(G17="","",G17+H17)</f>
        <v/>
      </c>
      <c r="J17" s="6" t="str">
        <f aca="false">IF(AND(C17="",D17="",G17=""),"",$H$4-SUM($I$13:I17))</f>
        <v/>
      </c>
    </row>
    <row r="18" customFormat="false" ht="15" hidden="false" customHeight="false" outlineLevel="0" collapsed="false">
      <c r="B18" s="13" t="str">
        <f aca="false">IF(AND(C18="",D18="",G18=""),"",ROW()-12)</f>
        <v/>
      </c>
      <c r="C18" s="14"/>
      <c r="D18" s="15"/>
      <c r="E18" s="15"/>
      <c r="F18" s="3"/>
      <c r="G18" s="5"/>
      <c r="H18" s="16" t="str">
        <f aca="false">IF(G18="","",G18*$D$9)</f>
        <v/>
      </c>
      <c r="I18" s="16" t="str">
        <f aca="false">IF(G18="","",G18+H18)</f>
        <v/>
      </c>
      <c r="J18" s="6" t="str">
        <f aca="false">IF(AND(C18="",D18="",G18=""),"",$H$4-SUM($I$13:I18))</f>
        <v/>
      </c>
    </row>
    <row r="19" customFormat="false" ht="15" hidden="false" customHeight="false" outlineLevel="0" collapsed="false">
      <c r="B19" s="13" t="str">
        <f aca="false">IF(AND(C19="",D19="",G19=""),"",ROW()-12)</f>
        <v/>
      </c>
      <c r="C19" s="14"/>
      <c r="D19" s="15"/>
      <c r="E19" s="15"/>
      <c r="F19" s="3"/>
      <c r="G19" s="5"/>
      <c r="H19" s="16" t="str">
        <f aca="false">IF(G19="","",G19*$D$9)</f>
        <v/>
      </c>
      <c r="I19" s="16" t="str">
        <f aca="false">IF(G19="","",G19+H19)</f>
        <v/>
      </c>
      <c r="J19" s="6" t="str">
        <f aca="false">IF(AND(C19="",D19="",G19=""),"",$H$4-SUM($I$13:I19))</f>
        <v/>
      </c>
    </row>
    <row r="20" customFormat="false" ht="15" hidden="false" customHeight="false" outlineLevel="0" collapsed="false">
      <c r="B20" s="13" t="str">
        <f aca="false">IF(AND(C20="",D20="",G20=""),"",ROW()-12)</f>
        <v/>
      </c>
      <c r="C20" s="14"/>
      <c r="D20" s="15"/>
      <c r="E20" s="15"/>
      <c r="F20" s="3"/>
      <c r="G20" s="5"/>
      <c r="H20" s="16" t="str">
        <f aca="false">IF(G20="","",G20*$D$9)</f>
        <v/>
      </c>
      <c r="I20" s="16" t="str">
        <f aca="false">IF(G20="","",G20+H20)</f>
        <v/>
      </c>
      <c r="J20" s="6" t="str">
        <f aca="false">IF(AND(C20="",D20="",G20=""),"",$H$4-SUM($I$13:I20))</f>
        <v/>
      </c>
    </row>
    <row r="21" customFormat="false" ht="15" hidden="false" customHeight="false" outlineLevel="0" collapsed="false">
      <c r="B21" s="13" t="str">
        <f aca="false">IF(AND(C21="",D21="",G21=""),"",ROW()-12)</f>
        <v/>
      </c>
      <c r="C21" s="14"/>
      <c r="D21" s="15"/>
      <c r="E21" s="15"/>
      <c r="F21" s="3"/>
      <c r="G21" s="5"/>
      <c r="H21" s="16" t="str">
        <f aca="false">IF(G21="","",G21*$D$9)</f>
        <v/>
      </c>
      <c r="I21" s="16" t="str">
        <f aca="false">IF(G21="","",G21+H21)</f>
        <v/>
      </c>
      <c r="J21" s="6" t="str">
        <f aca="false">IF(AND(C21="",D21="",G21=""),"",$H$4-SUM($I$13:I21))</f>
        <v/>
      </c>
    </row>
    <row r="22" customFormat="false" ht="15" hidden="false" customHeight="false" outlineLevel="0" collapsed="false">
      <c r="B22" s="13" t="str">
        <f aca="false">IF(AND(C22="",D22="",G22=""),"",ROW()-12)</f>
        <v/>
      </c>
      <c r="C22" s="14"/>
      <c r="D22" s="15"/>
      <c r="E22" s="15"/>
      <c r="F22" s="3"/>
      <c r="G22" s="5"/>
      <c r="H22" s="16" t="str">
        <f aca="false">IF(G22="","",G22*$D$9)</f>
        <v/>
      </c>
      <c r="I22" s="16" t="str">
        <f aca="false">IF(G22="","",G22+H22)</f>
        <v/>
      </c>
      <c r="J22" s="6" t="str">
        <f aca="false">IF(AND(C22="",D22="",G22=""),"",$H$4-SUM($I$13:I22))</f>
        <v/>
      </c>
    </row>
    <row r="23" customFormat="false" ht="15" hidden="false" customHeight="false" outlineLevel="0" collapsed="false">
      <c r="B23" s="13" t="str">
        <f aca="false">IF(AND(C23="",D23="",G23=""),"",ROW()-12)</f>
        <v/>
      </c>
      <c r="C23" s="14"/>
      <c r="D23" s="15"/>
      <c r="E23" s="15"/>
      <c r="F23" s="3"/>
      <c r="G23" s="5"/>
      <c r="H23" s="16" t="str">
        <f aca="false">IF(G23="","",G23*$D$9)</f>
        <v/>
      </c>
      <c r="I23" s="16" t="str">
        <f aca="false">IF(G23="","",G23+H23)</f>
        <v/>
      </c>
      <c r="J23" s="6" t="str">
        <f aca="false">IF(AND(C23="",D23="",G23=""),"",$H$4-SUM($I$13:I23))</f>
        <v/>
      </c>
    </row>
    <row r="24" customFormat="false" ht="15" hidden="false" customHeight="false" outlineLevel="0" collapsed="false">
      <c r="B24" s="13" t="str">
        <f aca="false">IF(AND(C24="",D24="",G24=""),"",ROW()-12)</f>
        <v/>
      </c>
      <c r="C24" s="14"/>
      <c r="D24" s="15"/>
      <c r="E24" s="15"/>
      <c r="F24" s="3"/>
      <c r="G24" s="5"/>
      <c r="H24" s="16" t="str">
        <f aca="false">IF(G24="","",G24*$D$9)</f>
        <v/>
      </c>
      <c r="I24" s="16" t="str">
        <f aca="false">IF(G24="","",G24+H24)</f>
        <v/>
      </c>
      <c r="J24" s="6" t="str">
        <f aca="false">IF(AND(C24="",D24="",G24=""),"",$H$4-SUM($I$13:I24))</f>
        <v/>
      </c>
    </row>
    <row r="25" customFormat="false" ht="15" hidden="false" customHeight="false" outlineLevel="0" collapsed="false">
      <c r="B25" s="13" t="str">
        <f aca="false">IF(AND(C25="",D25="",G25=""),"",ROW()-12)</f>
        <v/>
      </c>
      <c r="C25" s="14"/>
      <c r="D25" s="15"/>
      <c r="E25" s="15"/>
      <c r="F25" s="3"/>
      <c r="G25" s="5"/>
      <c r="H25" s="16" t="str">
        <f aca="false">IF(G25="","",G25*$D$9)</f>
        <v/>
      </c>
      <c r="I25" s="16" t="str">
        <f aca="false">IF(G25="","",G25+H25)</f>
        <v/>
      </c>
      <c r="J25" s="6" t="str">
        <f aca="false">IF(AND(C25="",D25="",G25=""),"",$H$4-SUM($I$13:I25))</f>
        <v/>
      </c>
    </row>
    <row r="26" customFormat="false" ht="15" hidden="false" customHeight="false" outlineLevel="0" collapsed="false">
      <c r="B26" s="13" t="str">
        <f aca="false">IF(AND(C26="",D26="",G26=""),"",ROW()-12)</f>
        <v/>
      </c>
      <c r="C26" s="14"/>
      <c r="D26" s="15"/>
      <c r="E26" s="15"/>
      <c r="F26" s="3"/>
      <c r="G26" s="5"/>
      <c r="H26" s="16" t="str">
        <f aca="false">IF(G26="","",G26*$D$9)</f>
        <v/>
      </c>
      <c r="I26" s="16" t="str">
        <f aca="false">IF(G26="","",G26+H26)</f>
        <v/>
      </c>
      <c r="J26" s="6" t="str">
        <f aca="false">IF(AND(C26="",D26="",G26=""),"",$H$4-SUM($I$13:I26))</f>
        <v/>
      </c>
    </row>
    <row r="27" customFormat="false" ht="15" hidden="false" customHeight="false" outlineLevel="0" collapsed="false">
      <c r="B27" s="13" t="str">
        <f aca="false">IF(AND(C27="",D27="",G27=""),"",ROW()-12)</f>
        <v/>
      </c>
      <c r="C27" s="14"/>
      <c r="D27" s="15"/>
      <c r="E27" s="15"/>
      <c r="F27" s="3"/>
      <c r="G27" s="5"/>
      <c r="H27" s="16" t="str">
        <f aca="false">IF(G27="","",G27*$D$9)</f>
        <v/>
      </c>
      <c r="I27" s="16" t="str">
        <f aca="false">IF(G27="","",G27+H27)</f>
        <v/>
      </c>
      <c r="J27" s="6" t="str">
        <f aca="false">IF(AND(C27="",D27="",G27=""),"",$H$4-SUM($I$13:I27))</f>
        <v/>
      </c>
    </row>
    <row r="28" customFormat="false" ht="15" hidden="false" customHeight="false" outlineLevel="0" collapsed="false">
      <c r="B28" s="13" t="str">
        <f aca="false">IF(AND(C28="",D28="",G28=""),"",ROW()-12)</f>
        <v/>
      </c>
      <c r="C28" s="14"/>
      <c r="D28" s="15"/>
      <c r="E28" s="15"/>
      <c r="F28" s="3"/>
      <c r="G28" s="5"/>
      <c r="H28" s="16" t="str">
        <f aca="false">IF(G28="","",G28*$D$9)</f>
        <v/>
      </c>
      <c r="I28" s="16" t="str">
        <f aca="false">IF(G28="","",G28+H28)</f>
        <v/>
      </c>
      <c r="J28" s="6" t="str">
        <f aca="false">IF(AND(C28="",D28="",G28=""),"",$H$4-SUM($I$13:I28))</f>
        <v/>
      </c>
    </row>
    <row r="29" customFormat="false" ht="15" hidden="false" customHeight="false" outlineLevel="0" collapsed="false">
      <c r="B29" s="13" t="str">
        <f aca="false">IF(AND(C29="",D29="",G29=""),"",ROW()-12)</f>
        <v/>
      </c>
      <c r="C29" s="14"/>
      <c r="D29" s="15"/>
      <c r="E29" s="15"/>
      <c r="F29" s="3"/>
      <c r="G29" s="5"/>
      <c r="H29" s="16" t="str">
        <f aca="false">IF(G29="","",G29*$D$9)</f>
        <v/>
      </c>
      <c r="I29" s="16" t="str">
        <f aca="false">IF(G29="","",G29+H29)</f>
        <v/>
      </c>
      <c r="J29" s="6" t="str">
        <f aca="false">IF(AND(C29="",D29="",G29=""),"",$H$4-SUM($I$13:I29))</f>
        <v/>
      </c>
    </row>
    <row r="30" customFormat="false" ht="15" hidden="false" customHeight="false" outlineLevel="0" collapsed="false">
      <c r="B30" s="13" t="str">
        <f aca="false">IF(AND(C30="",D30="",G30=""),"",ROW()-12)</f>
        <v/>
      </c>
      <c r="C30" s="14"/>
      <c r="D30" s="15"/>
      <c r="E30" s="15"/>
      <c r="F30" s="3"/>
      <c r="G30" s="5"/>
      <c r="H30" s="16" t="str">
        <f aca="false">IF(G30="","",G30*$D$9)</f>
        <v/>
      </c>
      <c r="I30" s="16" t="str">
        <f aca="false">IF(G30="","",G30+H30)</f>
        <v/>
      </c>
      <c r="J30" s="6" t="str">
        <f aca="false">IF(AND(C30="",D30="",G30=""),"",$H$4-SUM($I$13:I30))</f>
        <v/>
      </c>
    </row>
    <row r="31" customFormat="false" ht="15" hidden="false" customHeight="false" outlineLevel="0" collapsed="false">
      <c r="B31" s="13" t="str">
        <f aca="false">IF(AND(C31="",D31="",G31=""),"",ROW()-12)</f>
        <v/>
      </c>
      <c r="C31" s="14"/>
      <c r="D31" s="15"/>
      <c r="E31" s="15"/>
      <c r="F31" s="3"/>
      <c r="G31" s="5"/>
      <c r="H31" s="16" t="str">
        <f aca="false">IF(G31="","",G31*$D$9)</f>
        <v/>
      </c>
      <c r="I31" s="16" t="str">
        <f aca="false">IF(G31="","",G31+H31)</f>
        <v/>
      </c>
      <c r="J31" s="6" t="str">
        <f aca="false">IF(AND(C31="",D31="",G31=""),"",$H$4-SUM($I$13:I31))</f>
        <v/>
      </c>
    </row>
    <row r="32" customFormat="false" ht="15" hidden="false" customHeight="false" outlineLevel="0" collapsed="false">
      <c r="B32" s="13" t="str">
        <f aca="false">IF(AND(C32="",D32="",G32=""),"",ROW()-12)</f>
        <v/>
      </c>
      <c r="C32" s="14"/>
      <c r="D32" s="15"/>
      <c r="E32" s="15"/>
      <c r="F32" s="3"/>
      <c r="G32" s="5"/>
      <c r="H32" s="16" t="str">
        <f aca="false">IF(G32="","",G32*$D$9)</f>
        <v/>
      </c>
      <c r="I32" s="16" t="str">
        <f aca="false">IF(G32="","",G32+H32)</f>
        <v/>
      </c>
      <c r="J32" s="6" t="str">
        <f aca="false">IF(AND(C32="",D32="",G32=""),"",$H$4-SUM($I$13:I32))</f>
        <v/>
      </c>
    </row>
    <row r="33" customFormat="false" ht="15" hidden="false" customHeight="false" outlineLevel="0" collapsed="false">
      <c r="B33" s="13" t="str">
        <f aca="false">IF(AND(C33="",D33="",G33=""),"",ROW()-12)</f>
        <v/>
      </c>
      <c r="C33" s="14"/>
      <c r="D33" s="15"/>
      <c r="E33" s="15"/>
      <c r="F33" s="3"/>
      <c r="G33" s="5"/>
      <c r="H33" s="16" t="str">
        <f aca="false">IF(G33="","",G33*$D$9)</f>
        <v/>
      </c>
      <c r="I33" s="16" t="str">
        <f aca="false">IF(G33="","",G33+H33)</f>
        <v/>
      </c>
      <c r="J33" s="6" t="str">
        <f aca="false">IF(AND(C33="",D33="",G33=""),"",$H$4-SUM($I$13:I33))</f>
        <v/>
      </c>
    </row>
    <row r="34" customFormat="false" ht="15" hidden="false" customHeight="false" outlineLevel="0" collapsed="false">
      <c r="B34" s="13" t="str">
        <f aca="false">IF(AND(C34="",D34="",G34=""),"",ROW()-12)</f>
        <v/>
      </c>
      <c r="C34" s="14"/>
      <c r="D34" s="15"/>
      <c r="E34" s="15"/>
      <c r="F34" s="3"/>
      <c r="G34" s="5"/>
      <c r="H34" s="16" t="str">
        <f aca="false">IF(G34="","",G34*$D$9)</f>
        <v/>
      </c>
      <c r="I34" s="16" t="str">
        <f aca="false">IF(G34="","",G34+H34)</f>
        <v/>
      </c>
      <c r="J34" s="6" t="str">
        <f aca="false">IF(AND(C34="",D34="",G34=""),"",$H$4-SUM($I$13:I34))</f>
        <v/>
      </c>
    </row>
    <row r="35" customFormat="false" ht="15" hidden="false" customHeight="false" outlineLevel="0" collapsed="false">
      <c r="B35" s="13" t="str">
        <f aca="false">IF(AND(C35="",D35="",G35=""),"",ROW()-12)</f>
        <v/>
      </c>
      <c r="C35" s="14"/>
      <c r="D35" s="15"/>
      <c r="E35" s="15"/>
      <c r="F35" s="3"/>
      <c r="G35" s="5"/>
      <c r="H35" s="16" t="str">
        <f aca="false">IF(G35="","",G35*$D$9)</f>
        <v/>
      </c>
      <c r="I35" s="16" t="str">
        <f aca="false">IF(G35="","",G35+H35)</f>
        <v/>
      </c>
      <c r="J35" s="6" t="str">
        <f aca="false">IF(AND(C35="",D35="",G35=""),"",$H$4-SUM($I$13:I35))</f>
        <v/>
      </c>
    </row>
    <row r="36" customFormat="false" ht="15" hidden="false" customHeight="false" outlineLevel="0" collapsed="false">
      <c r="B36" s="13" t="str">
        <f aca="false">IF(AND(C36="",D36="",G36=""),"",ROW()-12)</f>
        <v/>
      </c>
      <c r="C36" s="14"/>
      <c r="D36" s="15"/>
      <c r="E36" s="15"/>
      <c r="F36" s="3"/>
      <c r="G36" s="5"/>
      <c r="H36" s="16" t="str">
        <f aca="false">IF(G36="","",G36*$D$9)</f>
        <v/>
      </c>
      <c r="I36" s="16" t="str">
        <f aca="false">IF(G36="","",G36+H36)</f>
        <v/>
      </c>
      <c r="J36" s="6" t="str">
        <f aca="false">IF(AND(C36="",D36="",G36=""),"",$H$4-SUM($I$13:I36))</f>
        <v/>
      </c>
    </row>
    <row r="37" customFormat="false" ht="15" hidden="false" customHeight="false" outlineLevel="0" collapsed="false">
      <c r="B37" s="13" t="str">
        <f aca="false">IF(AND(C37="",D37="",G37=""),"",ROW()-12)</f>
        <v/>
      </c>
      <c r="C37" s="14"/>
      <c r="D37" s="15"/>
      <c r="E37" s="15"/>
      <c r="F37" s="3"/>
      <c r="G37" s="5"/>
      <c r="H37" s="16" t="str">
        <f aca="false">IF(G37="","",G37*$D$9)</f>
        <v/>
      </c>
      <c r="I37" s="16" t="str">
        <f aca="false">IF(G37="","",G37+H37)</f>
        <v/>
      </c>
      <c r="J37" s="6" t="str">
        <f aca="false">IF(AND(C37="",D37="",G37=""),"",$H$4-SUM($I$13:I37))</f>
        <v/>
      </c>
    </row>
    <row r="38" customFormat="false" ht="15" hidden="false" customHeight="false" outlineLevel="0" collapsed="false">
      <c r="B38" s="13" t="str">
        <f aca="false">IF(AND(C38="",D38="",G38=""),"",ROW()-12)</f>
        <v/>
      </c>
      <c r="C38" s="14"/>
      <c r="D38" s="15"/>
      <c r="E38" s="15"/>
      <c r="F38" s="3"/>
      <c r="G38" s="5"/>
      <c r="H38" s="16" t="str">
        <f aca="false">IF(G38="","",G38*$D$9)</f>
        <v/>
      </c>
      <c r="I38" s="16" t="str">
        <f aca="false">IF(G38="","",G38+H38)</f>
        <v/>
      </c>
      <c r="J38" s="6" t="str">
        <f aca="false">IF(AND(C38="",D38="",G38=""),"",$H$4-SUM($I$13:I38))</f>
        <v/>
      </c>
    </row>
    <row r="39" customFormat="false" ht="15" hidden="false" customHeight="false" outlineLevel="0" collapsed="false">
      <c r="B39" s="13" t="str">
        <f aca="false">IF(AND(C39="",D39="",G39=""),"",ROW()-12)</f>
        <v/>
      </c>
      <c r="C39" s="14"/>
      <c r="D39" s="15"/>
      <c r="E39" s="15"/>
      <c r="F39" s="3"/>
      <c r="G39" s="5"/>
      <c r="H39" s="16" t="str">
        <f aca="false">IF(G39="","",G39*$D$9)</f>
        <v/>
      </c>
      <c r="I39" s="16" t="str">
        <f aca="false">IF(G39="","",G39+H39)</f>
        <v/>
      </c>
      <c r="J39" s="6" t="str">
        <f aca="false">IF(AND(C39="",D39="",G39=""),"",$H$4-SUM($I$13:I39))</f>
        <v/>
      </c>
    </row>
    <row r="40" customFormat="false" ht="15" hidden="false" customHeight="false" outlineLevel="0" collapsed="false">
      <c r="B40" s="13" t="str">
        <f aca="false">IF(AND(C40="",D40="",G40=""),"",ROW()-12)</f>
        <v/>
      </c>
      <c r="C40" s="14"/>
      <c r="D40" s="15"/>
      <c r="E40" s="15"/>
      <c r="F40" s="3"/>
      <c r="G40" s="5"/>
      <c r="H40" s="16" t="str">
        <f aca="false">IF(G40="","",G40*$D$9)</f>
        <v/>
      </c>
      <c r="I40" s="16" t="str">
        <f aca="false">IF(G40="","",G40+H40)</f>
        <v/>
      </c>
      <c r="J40" s="6" t="str">
        <f aca="false">IF(AND(C40="",D40="",G40=""),"",$H$4-SUM($I$13:I40))</f>
        <v/>
      </c>
    </row>
    <row r="41" customFormat="false" ht="15" hidden="false" customHeight="false" outlineLevel="0" collapsed="false">
      <c r="B41" s="13" t="str">
        <f aca="false">IF(AND(C41="",D41="",G41=""),"",ROW()-12)</f>
        <v/>
      </c>
      <c r="C41" s="14"/>
      <c r="D41" s="15"/>
      <c r="E41" s="15"/>
      <c r="F41" s="3"/>
      <c r="G41" s="5"/>
      <c r="H41" s="16" t="str">
        <f aca="false">IF(G41="","",G41*$D$9)</f>
        <v/>
      </c>
      <c r="I41" s="16" t="str">
        <f aca="false">IF(G41="","",G41+H41)</f>
        <v/>
      </c>
      <c r="J41" s="6" t="str">
        <f aca="false">IF(AND(C41="",D41="",G41=""),"",$H$4-SUM($I$13:I41))</f>
        <v/>
      </c>
    </row>
    <row r="42" customFormat="false" ht="15" hidden="false" customHeight="false" outlineLevel="0" collapsed="false">
      <c r="B42" s="13" t="str">
        <f aca="false">IF(AND(C42="",D42="",G42=""),"",ROW()-12)</f>
        <v/>
      </c>
      <c r="C42" s="14"/>
      <c r="D42" s="15"/>
      <c r="E42" s="15"/>
      <c r="F42" s="3"/>
      <c r="G42" s="5"/>
      <c r="H42" s="16" t="str">
        <f aca="false">IF(G42="","",G42*$D$9)</f>
        <v/>
      </c>
      <c r="I42" s="16" t="str">
        <f aca="false">IF(G42="","",G42+H42)</f>
        <v/>
      </c>
      <c r="J42" s="6" t="str">
        <f aca="false">IF(AND(C42="",D42="",G42=""),"",$H$4-SUM($I$13:I42))</f>
        <v/>
      </c>
    </row>
    <row r="43" customFormat="false" ht="15" hidden="false" customHeight="false" outlineLevel="0" collapsed="false">
      <c r="B43" s="13" t="str">
        <f aca="false">IF(AND(C43="",D43="",G43=""),"",ROW()-12)</f>
        <v/>
      </c>
      <c r="C43" s="14"/>
      <c r="D43" s="15"/>
      <c r="E43" s="15"/>
      <c r="F43" s="3"/>
      <c r="G43" s="5"/>
      <c r="H43" s="16" t="str">
        <f aca="false">IF(G43="","",G43*$D$9)</f>
        <v/>
      </c>
      <c r="I43" s="16" t="str">
        <f aca="false">IF(G43="","",G43+H43)</f>
        <v/>
      </c>
      <c r="J43" s="6" t="str">
        <f aca="false">IF(AND(C43="",D43="",G43=""),"",$H$4-SUM($I$13:I43))</f>
        <v/>
      </c>
    </row>
    <row r="44" customFormat="false" ht="15" hidden="false" customHeight="false" outlineLevel="0" collapsed="false">
      <c r="B44" s="13" t="str">
        <f aca="false">IF(AND(C44="",D44="",G44=""),"",ROW()-12)</f>
        <v/>
      </c>
      <c r="C44" s="14"/>
      <c r="D44" s="15"/>
      <c r="E44" s="15"/>
      <c r="F44" s="3"/>
      <c r="G44" s="5"/>
      <c r="H44" s="16" t="str">
        <f aca="false">IF(G44="","",G44*$D$9)</f>
        <v/>
      </c>
      <c r="I44" s="16" t="str">
        <f aca="false">IF(G44="","",G44+H44)</f>
        <v/>
      </c>
      <c r="J44" s="6" t="str">
        <f aca="false">IF(AND(C44="",D44="",G44=""),"",$H$4-SUM($I$13:I44))</f>
        <v/>
      </c>
    </row>
    <row r="45" customFormat="false" ht="15" hidden="false" customHeight="false" outlineLevel="0" collapsed="false">
      <c r="B45" s="13" t="str">
        <f aca="false">IF(AND(C45="",D45="",G45=""),"",ROW()-12)</f>
        <v/>
      </c>
      <c r="C45" s="14"/>
      <c r="D45" s="15"/>
      <c r="E45" s="15"/>
      <c r="F45" s="3"/>
      <c r="G45" s="5"/>
      <c r="H45" s="16" t="str">
        <f aca="false">IF(G45="","",G45*$D$9)</f>
        <v/>
      </c>
      <c r="I45" s="16" t="str">
        <f aca="false">IF(G45="","",G45+H45)</f>
        <v/>
      </c>
      <c r="J45" s="6" t="str">
        <f aca="false">IF(AND(C45="",D45="",G45=""),"",$H$4-SUM($I$13:I45))</f>
        <v/>
      </c>
    </row>
    <row r="46" customFormat="false" ht="15" hidden="false" customHeight="false" outlineLevel="0" collapsed="false">
      <c r="B46" s="13" t="str">
        <f aca="false">IF(AND(C46="",D46="",G46=""),"",ROW()-12)</f>
        <v/>
      </c>
      <c r="C46" s="14"/>
      <c r="D46" s="15"/>
      <c r="E46" s="15"/>
      <c r="F46" s="3"/>
      <c r="G46" s="5"/>
      <c r="H46" s="16" t="str">
        <f aca="false">IF(G46="","",G46*$D$9)</f>
        <v/>
      </c>
      <c r="I46" s="16" t="str">
        <f aca="false">IF(G46="","",G46+H46)</f>
        <v/>
      </c>
      <c r="J46" s="6" t="str">
        <f aca="false">IF(AND(C46="",D46="",G46=""),"",$H$4-SUM($I$13:I46))</f>
        <v/>
      </c>
    </row>
    <row r="47" customFormat="false" ht="15" hidden="false" customHeight="false" outlineLevel="0" collapsed="false">
      <c r="B47" s="13" t="str">
        <f aca="false">IF(AND(C47="",D47="",G47=""),"",ROW()-12)</f>
        <v/>
      </c>
      <c r="C47" s="14"/>
      <c r="D47" s="15"/>
      <c r="E47" s="15"/>
      <c r="F47" s="3"/>
      <c r="G47" s="5"/>
      <c r="H47" s="16" t="str">
        <f aca="false">IF(G47="","",G47*$D$9)</f>
        <v/>
      </c>
      <c r="I47" s="16" t="str">
        <f aca="false">IF(G47="","",G47+H47)</f>
        <v/>
      </c>
      <c r="J47" s="6" t="str">
        <f aca="false">IF(AND(C47="",D47="",G47=""),"",$H$4-SUM($I$13:I47))</f>
        <v/>
      </c>
    </row>
    <row r="48" customFormat="false" ht="15" hidden="false" customHeight="false" outlineLevel="0" collapsed="false">
      <c r="B48" s="13" t="str">
        <f aca="false">IF(AND(C48="",D48="",G48=""),"",ROW()-12)</f>
        <v/>
      </c>
      <c r="C48" s="14"/>
      <c r="D48" s="15"/>
      <c r="E48" s="15"/>
      <c r="F48" s="3"/>
      <c r="G48" s="5"/>
      <c r="H48" s="16" t="str">
        <f aca="false">IF(G48="","",G48*$D$9)</f>
        <v/>
      </c>
      <c r="I48" s="16" t="str">
        <f aca="false">IF(G48="","",G48+H48)</f>
        <v/>
      </c>
      <c r="J48" s="6" t="str">
        <f aca="false">IF(AND(C48="",D48="",G48=""),"",$H$4-SUM($I$13:I48))</f>
        <v/>
      </c>
    </row>
    <row r="49" customFormat="false" ht="15" hidden="false" customHeight="false" outlineLevel="0" collapsed="false">
      <c r="B49" s="13" t="str">
        <f aca="false">IF(AND(C49="",D49="",G49=""),"",ROW()-12)</f>
        <v/>
      </c>
      <c r="C49" s="14"/>
      <c r="D49" s="15"/>
      <c r="E49" s="15"/>
      <c r="F49" s="3"/>
      <c r="G49" s="5"/>
      <c r="H49" s="16" t="str">
        <f aca="false">IF(G49="","",G49*$D$9)</f>
        <v/>
      </c>
      <c r="I49" s="16" t="str">
        <f aca="false">IF(G49="","",G49+H49)</f>
        <v/>
      </c>
      <c r="J49" s="6" t="str">
        <f aca="false">IF(AND(C49="",D49="",G49=""),"",$H$4-SUM($I$13:I49))</f>
        <v/>
      </c>
    </row>
    <row r="50" customFormat="false" ht="15" hidden="false" customHeight="false" outlineLevel="0" collapsed="false">
      <c r="B50" s="13" t="str">
        <f aca="false">IF(AND(C50="",D50="",G50=""),"",ROW()-12)</f>
        <v/>
      </c>
      <c r="C50" s="14"/>
      <c r="D50" s="15"/>
      <c r="E50" s="15"/>
      <c r="F50" s="3"/>
      <c r="G50" s="5"/>
      <c r="H50" s="16" t="str">
        <f aca="false">IF(G50="","",G50*$D$9)</f>
        <v/>
      </c>
      <c r="I50" s="16" t="str">
        <f aca="false">IF(G50="","",G50+H50)</f>
        <v/>
      </c>
      <c r="J50" s="6" t="str">
        <f aca="false">IF(AND(C50="",D50="",G50=""),"",$H$4-SUM($I$13:I50))</f>
        <v/>
      </c>
    </row>
    <row r="51" customFormat="false" ht="15" hidden="false" customHeight="false" outlineLevel="0" collapsed="false">
      <c r="B51" s="13" t="str">
        <f aca="false">IF(AND(C51="",D51="",G51=""),"",ROW()-12)</f>
        <v/>
      </c>
      <c r="C51" s="14"/>
      <c r="D51" s="15"/>
      <c r="E51" s="15"/>
      <c r="F51" s="3"/>
      <c r="G51" s="5"/>
      <c r="H51" s="16" t="str">
        <f aca="false">IF(G51="","",G51*$D$9)</f>
        <v/>
      </c>
      <c r="I51" s="16" t="str">
        <f aca="false">IF(G51="","",G51+H51)</f>
        <v/>
      </c>
      <c r="J51" s="6" t="str">
        <f aca="false">IF(AND(C51="",D51="",G51=""),"",$H$4-SUM($I$13:I51))</f>
        <v/>
      </c>
    </row>
    <row r="52" customFormat="false" ht="15" hidden="false" customHeight="false" outlineLevel="0" collapsed="false">
      <c r="B52" s="13" t="str">
        <f aca="false">IF(AND(C52="",D52="",G52=""),"",ROW()-12)</f>
        <v/>
      </c>
      <c r="C52" s="14"/>
      <c r="D52" s="15"/>
      <c r="E52" s="15"/>
      <c r="F52" s="3"/>
      <c r="G52" s="5"/>
      <c r="H52" s="16" t="str">
        <f aca="false">IF(G52="","",G52*$D$9)</f>
        <v/>
      </c>
      <c r="I52" s="16" t="str">
        <f aca="false">IF(G52="","",G52+H52)</f>
        <v/>
      </c>
      <c r="J52" s="6" t="str">
        <f aca="false">IF(AND(C52="",D52="",G52=""),"",$H$4-SUM($I$13:I52))</f>
        <v/>
      </c>
    </row>
    <row r="53" customFormat="false" ht="15" hidden="false" customHeight="false" outlineLevel="0" collapsed="false">
      <c r="B53" s="13" t="str">
        <f aca="false">IF(AND(C53="",D53="",G53=""),"",ROW()-12)</f>
        <v/>
      </c>
      <c r="C53" s="14"/>
      <c r="D53" s="15"/>
      <c r="E53" s="15"/>
      <c r="F53" s="3"/>
      <c r="G53" s="5"/>
      <c r="H53" s="16" t="str">
        <f aca="false">IF(G53="","",G53*$D$9)</f>
        <v/>
      </c>
      <c r="I53" s="16" t="str">
        <f aca="false">IF(G53="","",G53+H53)</f>
        <v/>
      </c>
      <c r="J53" s="6" t="str">
        <f aca="false">IF(AND(C53="",D53="",G53=""),"",$H$4-SUM($I$13:I53))</f>
        <v/>
      </c>
    </row>
    <row r="54" customFormat="false" ht="15" hidden="false" customHeight="false" outlineLevel="0" collapsed="false">
      <c r="B54" s="13" t="str">
        <f aca="false">IF(AND(C54="",D54="",G54=""),"",ROW()-12)</f>
        <v/>
      </c>
      <c r="C54" s="14"/>
      <c r="D54" s="15"/>
      <c r="E54" s="15"/>
      <c r="F54" s="3"/>
      <c r="G54" s="5"/>
      <c r="H54" s="16" t="str">
        <f aca="false">IF(G54="","",G54*$D$9)</f>
        <v/>
      </c>
      <c r="I54" s="16" t="str">
        <f aca="false">IF(G54="","",G54+H54)</f>
        <v/>
      </c>
      <c r="J54" s="6" t="str">
        <f aca="false">IF(AND(C54="",D54="",G54=""),"",$H$4-SUM($I$13:I54))</f>
        <v/>
      </c>
    </row>
    <row r="55" customFormat="false" ht="15" hidden="false" customHeight="false" outlineLevel="0" collapsed="false">
      <c r="B55" s="13" t="str">
        <f aca="false">IF(AND(C55="",D55="",G55=""),"",ROW()-12)</f>
        <v/>
      </c>
      <c r="C55" s="14"/>
      <c r="D55" s="15"/>
      <c r="E55" s="15"/>
      <c r="F55" s="3"/>
      <c r="G55" s="5"/>
      <c r="H55" s="16" t="str">
        <f aca="false">IF(G55="","",G55*$D$9)</f>
        <v/>
      </c>
      <c r="I55" s="16" t="str">
        <f aca="false">IF(G55="","",G55+H55)</f>
        <v/>
      </c>
      <c r="J55" s="6" t="str">
        <f aca="false">IF(AND(C55="",D55="",G55=""),"",$H$4-SUM($I$13:I55))</f>
        <v/>
      </c>
    </row>
    <row r="56" customFormat="false" ht="15" hidden="false" customHeight="false" outlineLevel="0" collapsed="false">
      <c r="B56" s="13" t="str">
        <f aca="false">IF(AND(C56="",D56="",G56=""),"",ROW()-12)</f>
        <v/>
      </c>
      <c r="C56" s="14"/>
      <c r="D56" s="15"/>
      <c r="E56" s="15"/>
      <c r="F56" s="3"/>
      <c r="G56" s="5"/>
      <c r="H56" s="16" t="str">
        <f aca="false">IF(G56="","",G56*$D$9)</f>
        <v/>
      </c>
      <c r="I56" s="16" t="str">
        <f aca="false">IF(G56="","",G56+H56)</f>
        <v/>
      </c>
      <c r="J56" s="6" t="str">
        <f aca="false">IF(AND(C56="",D56="",G56=""),"",$H$4-SUM($I$13:I56))</f>
        <v/>
      </c>
    </row>
    <row r="57" customFormat="false" ht="15" hidden="false" customHeight="false" outlineLevel="0" collapsed="false">
      <c r="B57" s="13" t="str">
        <f aca="false">IF(AND(C57="",D57="",G57=""),"",ROW()-12)</f>
        <v/>
      </c>
      <c r="C57" s="14"/>
      <c r="D57" s="15"/>
      <c r="E57" s="15"/>
      <c r="F57" s="3"/>
      <c r="G57" s="5"/>
      <c r="H57" s="16" t="str">
        <f aca="false">IF(G57="","",G57*$D$9)</f>
        <v/>
      </c>
      <c r="I57" s="16" t="str">
        <f aca="false">IF(G57="","",G57+H57)</f>
        <v/>
      </c>
      <c r="J57" s="6" t="str">
        <f aca="false">IF(AND(C57="",D57="",G57=""),"",$H$4-SUM($I$13:I57))</f>
        <v/>
      </c>
    </row>
    <row r="58" customFormat="false" ht="15" hidden="false" customHeight="false" outlineLevel="0" collapsed="false">
      <c r="B58" s="13" t="str">
        <f aca="false">IF(AND(C58="",D58="",G58=""),"",ROW()-12)</f>
        <v/>
      </c>
      <c r="C58" s="14"/>
      <c r="D58" s="15"/>
      <c r="E58" s="15"/>
      <c r="F58" s="3"/>
      <c r="G58" s="5"/>
      <c r="H58" s="16" t="str">
        <f aca="false">IF(G58="","",G58*$D$9)</f>
        <v/>
      </c>
      <c r="I58" s="16" t="str">
        <f aca="false">IF(G58="","",G58+H58)</f>
        <v/>
      </c>
      <c r="J58" s="6" t="str">
        <f aca="false">IF(AND(C58="",D58="",G58=""),"",$H$4-SUM($I$13:I58))</f>
        <v/>
      </c>
    </row>
    <row r="59" customFormat="false" ht="15" hidden="false" customHeight="false" outlineLevel="0" collapsed="false">
      <c r="B59" s="13" t="str">
        <f aca="false">IF(AND(C59="",D59="",G59=""),"",ROW()-12)</f>
        <v/>
      </c>
      <c r="C59" s="14"/>
      <c r="D59" s="15"/>
      <c r="E59" s="15"/>
      <c r="F59" s="3"/>
      <c r="G59" s="5"/>
      <c r="H59" s="16" t="str">
        <f aca="false">IF(G59="","",G59*$D$9)</f>
        <v/>
      </c>
      <c r="I59" s="16" t="str">
        <f aca="false">IF(G59="","",G59+H59)</f>
        <v/>
      </c>
      <c r="J59" s="6" t="str">
        <f aca="false">IF(AND(C59="",D59="",G59=""),"",$H$4-SUM($I$13:I59))</f>
        <v/>
      </c>
    </row>
    <row r="60" customFormat="false" ht="15" hidden="false" customHeight="false" outlineLevel="0" collapsed="false">
      <c r="B60" s="13" t="str">
        <f aca="false">IF(AND(C60="",D60="",G60=""),"",ROW()-12)</f>
        <v/>
      </c>
      <c r="C60" s="14"/>
      <c r="D60" s="15"/>
      <c r="E60" s="15"/>
      <c r="F60" s="3"/>
      <c r="G60" s="5"/>
      <c r="H60" s="16" t="str">
        <f aca="false">IF(G60="","",G60*$D$9)</f>
        <v/>
      </c>
      <c r="I60" s="16" t="str">
        <f aca="false">IF(G60="","",G60+H60)</f>
        <v/>
      </c>
      <c r="J60" s="6" t="str">
        <f aca="false">IF(AND(C60="",D60="",G60=""),"",$H$4-SUM($I$13:I60))</f>
        <v/>
      </c>
    </row>
    <row r="61" customFormat="false" ht="15" hidden="false" customHeight="false" outlineLevel="0" collapsed="false">
      <c r="B61" s="13" t="str">
        <f aca="false">IF(AND(C61="",D61="",G61=""),"",ROW()-12)</f>
        <v/>
      </c>
      <c r="C61" s="14"/>
      <c r="D61" s="15"/>
      <c r="E61" s="15"/>
      <c r="F61" s="3"/>
      <c r="G61" s="5"/>
      <c r="H61" s="16" t="str">
        <f aca="false">IF(G61="","",G61*$D$9)</f>
        <v/>
      </c>
      <c r="I61" s="16" t="str">
        <f aca="false">IF(G61="","",G61+H61)</f>
        <v/>
      </c>
      <c r="J61" s="6" t="str">
        <f aca="false">IF(AND(C61="",D61="",G61=""),"",$H$4-SUM($I$13:I61))</f>
        <v/>
      </c>
    </row>
    <row r="62" customFormat="false" ht="15" hidden="false" customHeight="false" outlineLevel="0" collapsed="false">
      <c r="B62" s="13" t="str">
        <f aca="false">IF(AND(C62="",D62="",G62=""),"",ROW()-12)</f>
        <v/>
      </c>
      <c r="C62" s="14"/>
      <c r="D62" s="15"/>
      <c r="E62" s="15"/>
      <c r="F62" s="3"/>
      <c r="G62" s="5"/>
      <c r="H62" s="16" t="str">
        <f aca="false">IF(G62="","",G62*$D$9)</f>
        <v/>
      </c>
      <c r="I62" s="16" t="str">
        <f aca="false">IF(G62="","",G62+H62)</f>
        <v/>
      </c>
      <c r="J62" s="6" t="str">
        <f aca="false">IF(AND(C62="",D62="",G62=""),"",$H$4-SUM($I$13:I62))</f>
        <v/>
      </c>
    </row>
    <row r="64" customFormat="false" ht="15" hidden="false" customHeight="false" outlineLevel="0" collapsed="false">
      <c r="B64" s="17" t="s">
        <v>25</v>
      </c>
      <c r="C64" s="17"/>
      <c r="D64" s="17"/>
      <c r="E64" s="17"/>
      <c r="F64" s="17"/>
      <c r="G64" s="18" t="n">
        <f aca="false">SUM(G13:G62)</f>
        <v>12500</v>
      </c>
      <c r="H64" s="18" t="n">
        <f aca="false">SUM(H13:H62)</f>
        <v>2750</v>
      </c>
      <c r="I64" s="18" t="n">
        <f aca="false">SUM(I13:I62)</f>
        <v>15250</v>
      </c>
      <c r="J64" s="19" t="n">
        <f aca="false">H4-I64</f>
        <v>484750</v>
      </c>
    </row>
    <row r="66" customFormat="false" ht="15" hidden="false" customHeight="false" outlineLevel="0" collapsed="false">
      <c r="B66" s="20" t="s">
        <v>26</v>
      </c>
      <c r="C66" s="20"/>
      <c r="D66" s="20"/>
      <c r="E66" s="20"/>
      <c r="F66" s="20"/>
      <c r="G66" s="20"/>
      <c r="H66" s="20"/>
      <c r="I66" s="20"/>
      <c r="J66" s="20"/>
    </row>
  </sheetData>
  <mergeCells count="22">
    <mergeCell ref="B2:J2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F10:G10"/>
    <mergeCell ref="B64:F64"/>
    <mergeCell ref="B66:J66"/>
  </mergeCells>
  <conditionalFormatting sqref="J13:J64">
    <cfRule type="cellIs" priority="2" operator="lessThan" aboveAverage="0" equalAverage="0" bottom="0" percent="0" rank="0" text="" dxfId="0">
      <formula>0</formula>
    </cfRule>
  </conditionalFormatting>
  <conditionalFormatting sqref="H7">
    <cfRule type="cellIs" priority="3" operator="lessThan" aboveAverage="0" equalAverage="0" bottom="0" percent="0" rank="0" text="" dxfId="0">
      <formula>0</formula>
    </cfRule>
  </conditionalFormatting>
  <dataValidations count="1">
    <dataValidation allowBlank="true" errorStyle="stop" operator="between" showDropDown="false" showErrorMessage="false" showInputMessage="false" sqref="D8" type="list">
      <formula1>"Pesos,Dólares"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88"/>
  </cols>
  <sheetData>
    <row r="2" customFormat="false" ht="17.35" hidden="false" customHeight="false" outlineLevel="0" collapsed="false">
      <c r="B2" s="21" t="s">
        <v>27</v>
      </c>
    </row>
    <row r="5" customFormat="false" ht="30" hidden="false" customHeight="true" outlineLevel="0" collapsed="false">
      <c r="B5" s="22" t="s">
        <v>28</v>
      </c>
      <c r="C5" s="23" t="s">
        <v>29</v>
      </c>
    </row>
    <row r="6" customFormat="false" ht="30" hidden="false" customHeight="true" outlineLevel="0" collapsed="false">
      <c r="B6" s="22" t="s">
        <v>30</v>
      </c>
      <c r="C6" s="23" t="s">
        <v>31</v>
      </c>
    </row>
    <row r="8" customFormat="false" ht="30" hidden="false" customHeight="true" outlineLevel="0" collapsed="false">
      <c r="B8" s="22" t="s">
        <v>32</v>
      </c>
      <c r="C8" s="23" t="s">
        <v>33</v>
      </c>
    </row>
    <row r="9" customFormat="false" ht="30" hidden="false" customHeight="true" outlineLevel="0" collapsed="false">
      <c r="B9" s="22" t="s">
        <v>34</v>
      </c>
      <c r="C9" s="23" t="s">
        <v>35</v>
      </c>
    </row>
    <row r="10" customFormat="false" ht="30" hidden="false" customHeight="true" outlineLevel="0" collapsed="false">
      <c r="B10" s="22" t="s">
        <v>36</v>
      </c>
      <c r="C10" s="23" t="s">
        <v>37</v>
      </c>
    </row>
    <row r="11" customFormat="false" ht="30" hidden="false" customHeight="true" outlineLevel="0" collapsed="false">
      <c r="B11" s="22" t="s">
        <v>38</v>
      </c>
      <c r="C11" s="23" t="s">
        <v>39</v>
      </c>
    </row>
    <row r="13" customFormat="false" ht="30" hidden="false" customHeight="true" outlineLevel="0" collapsed="false">
      <c r="B13" s="22" t="s">
        <v>40</v>
      </c>
      <c r="C13" s="23" t="s">
        <v>41</v>
      </c>
    </row>
    <row r="14" customFormat="false" ht="30" hidden="false" customHeight="true" outlineLevel="0" collapsed="false">
      <c r="B14" s="22" t="s">
        <v>42</v>
      </c>
      <c r="C14" s="23" t="s">
        <v>43</v>
      </c>
    </row>
    <row r="15" customFormat="false" ht="30" hidden="false" customHeight="true" outlineLevel="0" collapsed="false">
      <c r="B15" s="22" t="s">
        <v>44</v>
      </c>
      <c r="C15" s="23" t="s">
        <v>45</v>
      </c>
    </row>
    <row r="16" customFormat="false" ht="30" hidden="false" customHeight="true" outlineLevel="0" collapsed="false">
      <c r="B16" s="22" t="s">
        <v>46</v>
      </c>
      <c r="C16" s="23" t="s">
        <v>47</v>
      </c>
    </row>
    <row r="18" customFormat="false" ht="30" hidden="false" customHeight="true" outlineLevel="0" collapsed="false">
      <c r="B18" s="22" t="s">
        <v>48</v>
      </c>
      <c r="C18" s="23" t="s">
        <v>49</v>
      </c>
    </row>
    <row r="19" customFormat="false" ht="30" hidden="false" customHeight="true" outlineLevel="0" collapsed="false">
      <c r="B19" s="22" t="s">
        <v>50</v>
      </c>
      <c r="C19" s="23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2026-10-25T23:52:03Z</dcterms:created>
  <dc:creator>openpyxl</dc:creator>
  <dc:description/>
  <dc:language>en-US</dc:language>
  <cp:lastModifiedBy/>
  <dcterms:modified xsi:type="dcterms:W3CDTF">2026-10-25T23:52:03Z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